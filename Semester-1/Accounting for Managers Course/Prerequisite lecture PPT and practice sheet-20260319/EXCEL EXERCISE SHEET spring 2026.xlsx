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eslscaunieg-my.sharepoint.com/personal/maha_ramdan_eslsca_edu_eg/Documents/Desktop/Dr.maha/Documents/MBA Eslsca University/MBA eslsca/SPRING 2026/"/>
    </mc:Choice>
  </mc:AlternateContent>
  <xr:revisionPtr revIDLastSave="107" documentId="8_{1ABE93F8-AF43-4F3F-9C37-6909D4DD4571}" xr6:coauthVersionLast="47" xr6:coauthVersionMax="47" xr10:uidLastSave="{0AF16A08-758C-4ED3-A541-FDE9BFD24AE5}"/>
  <bookViews>
    <workbookView xWindow="-98" yWindow="-98" windowWidth="17115" windowHeight="10755" xr2:uid="{00000000-000D-0000-FFFF-FFFF00000000}"/>
  </bookViews>
  <sheets>
    <sheet name="Class excercsie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6" i="1" l="1"/>
  <c r="S8" i="1"/>
  <c r="E32" i="1"/>
  <c r="C32" i="1"/>
  <c r="C31" i="1"/>
  <c r="C20" i="1"/>
  <c r="D20" i="1"/>
  <c r="D28" i="1" s="1"/>
  <c r="S22" i="1" s="1"/>
  <c r="E20" i="1"/>
  <c r="F20" i="1"/>
  <c r="F28" i="1" s="1"/>
  <c r="S24" i="1" s="1"/>
  <c r="G20" i="1"/>
  <c r="G28" i="1" s="1"/>
  <c r="U20" i="1" s="1"/>
  <c r="H20" i="1"/>
  <c r="H28" i="1" s="1"/>
  <c r="U21" i="1" s="1"/>
  <c r="I20" i="1"/>
  <c r="I28" i="1" s="1"/>
  <c r="U22" i="1" s="1"/>
  <c r="J20" i="1"/>
  <c r="J28" i="1" s="1"/>
  <c r="U23" i="1" s="1"/>
  <c r="K20" i="1"/>
  <c r="K28" i="1" s="1"/>
  <c r="U24" i="1" s="1"/>
  <c r="L20" i="1"/>
  <c r="M20" i="1"/>
  <c r="M28" i="1" s="1"/>
  <c r="N20" i="1"/>
  <c r="N28" i="1" s="1"/>
  <c r="O20" i="1"/>
  <c r="O28" i="1" s="1"/>
  <c r="B20" i="1"/>
  <c r="B28" i="1" s="1"/>
  <c r="S20" i="1" s="1"/>
  <c r="D48" i="3"/>
  <c r="E48" i="3"/>
  <c r="F48" i="3"/>
  <c r="G48" i="3"/>
  <c r="H48" i="3"/>
  <c r="I48" i="3"/>
  <c r="J48" i="3"/>
  <c r="K48" i="3"/>
  <c r="L48" i="3"/>
  <c r="M48" i="3"/>
  <c r="C48" i="3"/>
  <c r="D31" i="3"/>
  <c r="E31" i="3"/>
  <c r="F31" i="3"/>
  <c r="G31" i="3"/>
  <c r="H31" i="3"/>
  <c r="I31" i="3"/>
  <c r="J31" i="3"/>
  <c r="K31" i="3"/>
  <c r="L31" i="3"/>
  <c r="M31" i="3"/>
  <c r="C31" i="3"/>
  <c r="D11" i="3"/>
  <c r="E11" i="3"/>
  <c r="F11" i="3"/>
  <c r="G11" i="3"/>
  <c r="H11" i="3"/>
  <c r="I11" i="3"/>
  <c r="J11" i="3"/>
  <c r="K11" i="3"/>
  <c r="C11" i="3"/>
  <c r="D21" i="3"/>
  <c r="E21" i="3"/>
  <c r="F21" i="3"/>
  <c r="G21" i="3"/>
  <c r="H21" i="3"/>
  <c r="I21" i="3"/>
  <c r="J21" i="3"/>
  <c r="K21" i="3"/>
  <c r="L21" i="3"/>
  <c r="M21" i="3"/>
  <c r="N21" i="3"/>
  <c r="C21" i="3"/>
  <c r="C28" i="1"/>
  <c r="S21" i="1" s="1"/>
  <c r="E28" i="1"/>
  <c r="S23" i="1" s="1"/>
  <c r="U25" i="1" l="1"/>
  <c r="S30" i="1"/>
  <c r="L28" i="1"/>
  <c r="U27" i="1" s="1"/>
  <c r="U28" i="1" l="1"/>
  <c r="U29" i="1" s="1"/>
  <c r="U30" i="1" s="1"/>
</calcChain>
</file>

<file path=xl/sharedStrings.xml><?xml version="1.0" encoding="utf-8"?>
<sst xmlns="http://schemas.openxmlformats.org/spreadsheetml/2006/main" count="201" uniqueCount="165">
  <si>
    <t>cash</t>
  </si>
  <si>
    <t>Revenues</t>
  </si>
  <si>
    <t>Capital</t>
  </si>
  <si>
    <t>Expenses</t>
  </si>
  <si>
    <t>Drawings</t>
  </si>
  <si>
    <t>1-Owner invested $100,000 cash in the business</t>
  </si>
  <si>
    <t>Balances after adjustment</t>
  </si>
  <si>
    <t>Cash</t>
  </si>
  <si>
    <t>A/R</t>
  </si>
  <si>
    <t>Total</t>
  </si>
  <si>
    <t>Rented office space and paid $1,200 cash for the month of September.</t>
  </si>
  <si>
    <t>Purchased office equipment for $30,000, paying $8,000 cash and agreeing to pay the balance in one year.</t>
  </si>
  <si>
    <t>Purchased office supplies for $750 cash.</t>
  </si>
  <si>
    <t>Completed work for a client and immediately collected $2,700 cash for the services.</t>
  </si>
  <si>
    <t>Completed $3,600 services for a client on credit.</t>
  </si>
  <si>
    <t>Paid the office secretary's monthly salary, $3,000 cash.</t>
  </si>
  <si>
    <t>Lin withdrew $2,000 for personal use.</t>
  </si>
  <si>
    <t xml:space="preserve">Office Equipment </t>
  </si>
  <si>
    <t>Supplies</t>
  </si>
  <si>
    <t>A/Rec</t>
  </si>
  <si>
    <t>Accounts Payable</t>
  </si>
  <si>
    <t xml:space="preserve">Capital </t>
  </si>
  <si>
    <t xml:space="preserve">Revenues </t>
  </si>
  <si>
    <t xml:space="preserve">Expenses </t>
  </si>
  <si>
    <t>a</t>
  </si>
  <si>
    <t>b</t>
  </si>
  <si>
    <t>c</t>
  </si>
  <si>
    <t>d</t>
  </si>
  <si>
    <t>e</t>
  </si>
  <si>
    <t>f</t>
  </si>
  <si>
    <t>h</t>
  </si>
  <si>
    <t>g</t>
  </si>
  <si>
    <t xml:space="preserve"> Purchased $7,500 of office equipment from John Bronx on credit.</t>
  </si>
  <si>
    <t>Completed legal work for a client and received $1,500 cash in full payment.</t>
  </si>
  <si>
    <t>Paid John Bronx $3,500 cash in partial payment of the amount owed.</t>
  </si>
  <si>
    <t xml:space="preserve"> Completed $4,000 of legal work for a client on credit.</t>
  </si>
  <si>
    <t>Mary withdrew $2,000 cash from the business for personal use.</t>
  </si>
  <si>
    <t xml:space="preserve"> Paid $2,500 cash for the secretary's salary.</t>
  </si>
  <si>
    <t>Sarah's Paralegal Services completed these transactions in February:</t>
  </si>
  <si>
    <t>Required:</t>
  </si>
  <si>
    <t>Prepare journal entries to record the above transactions. Explanations are not necessary.</t>
  </si>
  <si>
    <t>a.</t>
  </si>
  <si>
    <t>c.</t>
  </si>
  <si>
    <t>d.</t>
  </si>
  <si>
    <t>e.</t>
  </si>
  <si>
    <t>f.</t>
  </si>
  <si>
    <t xml:space="preserve"> Purchased office supplies on account, $300.</t>
  </si>
  <si>
    <t>Completed work for a client on credit, $500.</t>
  </si>
  <si>
    <t>Completed work for a client and received $800 cash.</t>
  </si>
  <si>
    <t>Received $1,000 in advance from a client for services to be performed in March.</t>
  </si>
  <si>
    <t>Office Library</t>
  </si>
  <si>
    <t>Office Equipment</t>
  </si>
  <si>
    <t>Sandy has started her own delivery service, on May 1, 2021. The following transactions occurred during the month of May:</t>
  </si>
  <si>
    <t>Sandy invested L.E. 10,000 cash in the business.</t>
  </si>
  <si>
    <t>Purchased a van for delivery for L.E. 12,000.she paid L.E. 2,000 cash and signed a note payable for the rest.</t>
  </si>
  <si>
    <t>Received a cash payment of L.E. 1,500 for services provided</t>
  </si>
  <si>
    <t>Performed L.E. 4,400 of services on account</t>
  </si>
  <si>
    <t>Withdrew L.E. 200 cash for personal use</t>
  </si>
  <si>
    <t>Purchased supplies for L.E. 150 on account</t>
  </si>
  <si>
    <t>Made a cash payment of L.E. 500 on the note payable</t>
  </si>
  <si>
    <t>Paid L.E. 250 for utilities</t>
  </si>
  <si>
    <t>Paid for the supplies purchased on account on May 10</t>
  </si>
  <si>
    <t>Paid L.E. 2000 for employee salaries.</t>
  </si>
  <si>
    <t>Received a cash payment of L.E. 1,250 for services provided on May 5</t>
  </si>
  <si>
    <t xml:space="preserve">Based on the following trial balance for Sally's Salon, prepare an income statement, statement of owner's equity, and a balance sheet. Sally Crawford made no additional investments in the company during the year. </t>
  </si>
  <si>
    <t>Sally's Salon</t>
  </si>
  <si>
    <t>Trial Balance</t>
  </si>
  <si>
    <t>Accounts receivable</t>
  </si>
  <si>
    <t>Beauty supplies</t>
  </si>
  <si>
    <t>Beauty shop equipment</t>
  </si>
  <si>
    <t>Accounts payable</t>
  </si>
  <si>
    <t>S. Crawford, Capital</t>
  </si>
  <si>
    <t>S. Crawford, Withdrawals</t>
  </si>
  <si>
    <t>Revenue earned</t>
  </si>
  <si>
    <t>Beauty supplies expense</t>
  </si>
  <si>
    <t>Rent expense</t>
  </si>
  <si>
    <t>Wages expense</t>
  </si>
  <si>
    <t>Totals</t>
  </si>
  <si>
    <t>TASK ONE</t>
  </si>
  <si>
    <t>TASK TWO</t>
  </si>
  <si>
    <t>TASK THREE</t>
  </si>
  <si>
    <t>TASK FOUR</t>
  </si>
  <si>
    <t>Accounts Receivable</t>
  </si>
  <si>
    <t>Assets</t>
  </si>
  <si>
    <t>liabilities</t>
  </si>
  <si>
    <t>Owner's Equity</t>
  </si>
  <si>
    <t xml:space="preserve">equipment </t>
  </si>
  <si>
    <t>supplies</t>
  </si>
  <si>
    <t xml:space="preserve">Prepaid </t>
  </si>
  <si>
    <t xml:space="preserve">Resources </t>
  </si>
  <si>
    <t>Sources of financing</t>
  </si>
  <si>
    <t>A/P</t>
  </si>
  <si>
    <t>Paul Invested $100,000 of her personal savings into a checking account opened in the name of the business.</t>
  </si>
  <si>
    <t>Received $3,600 from a client for the work completed on April 15.</t>
  </si>
  <si>
    <t>furniture</t>
  </si>
  <si>
    <t xml:space="preserve"> Mary invested $15,000 cash and furniture valued at $6,000.</t>
  </si>
  <si>
    <t>Received $2,500 cash as partial payment for the legal work completed for the client in (e).</t>
  </si>
  <si>
    <t>Office supplies</t>
  </si>
  <si>
    <t>Unearned revenue</t>
  </si>
  <si>
    <t>Paid cash for the office supplies purchased in (a).</t>
  </si>
  <si>
    <t xml:space="preserve"> Received $500 cash for the work described in (b).</t>
  </si>
  <si>
    <t>Delivery Van</t>
  </si>
  <si>
    <t xml:space="preserve">NotesPayable </t>
  </si>
  <si>
    <t>A/Payable</t>
  </si>
  <si>
    <t>2- Co. borrowed a bank loan for $100,000 in cash,interest rate 21%</t>
  </si>
  <si>
    <t>4- Co.provided services to clients for $50,000 cash</t>
  </si>
  <si>
    <t>5- Co. provided  services to Omar $20000 (on account)</t>
  </si>
  <si>
    <t>7-Co. purchased equipment for $84,000 in cash (7 years useful life)</t>
  </si>
  <si>
    <t xml:space="preserve">8- Co. purchased supplies for $20000 on account (on credit) </t>
  </si>
  <si>
    <t>9- Co. paid $8000 for the supplies purchased in previous transactions</t>
  </si>
  <si>
    <t>10- Co. paid the advertising bill for the month for $10,000 in cash</t>
  </si>
  <si>
    <t>11- Co.received the monthly utilities bill for $3000</t>
  </si>
  <si>
    <t xml:space="preserve">12- Co. paid the above utilities bill </t>
  </si>
  <si>
    <t>13- The owner withdrew $15000 in cash for his personal use</t>
  </si>
  <si>
    <t>14-Co.purchased a one year insurance policy for $60000 cash</t>
  </si>
  <si>
    <t xml:space="preserve">15- Co. received $10000 cash deposits for services to be provided  later on </t>
  </si>
  <si>
    <t>17- Determined that $5000 of supplies were remaining at end of the month</t>
  </si>
  <si>
    <t>18- Recording the expiry of one month  insurance policy</t>
  </si>
  <si>
    <t xml:space="preserve">20- One forth of the services where the collections were made in advance were delivered </t>
  </si>
  <si>
    <t>21- Telephone expenses accrued at end of the period was $2000</t>
  </si>
  <si>
    <t>22-Determined that invoices totalling 30,000 had not yet been billed to clients</t>
  </si>
  <si>
    <t xml:space="preserve">23- Monthly interest on bank loans were accrued </t>
  </si>
  <si>
    <t xml:space="preserve">Revenue </t>
  </si>
  <si>
    <t xml:space="preserve">Unearned </t>
  </si>
  <si>
    <t xml:space="preserve">Payable </t>
  </si>
  <si>
    <t xml:space="preserve">Accounts </t>
  </si>
  <si>
    <t xml:space="preserve">Insurance </t>
  </si>
  <si>
    <t xml:space="preserve">Receivables </t>
  </si>
  <si>
    <t xml:space="preserve">Accrued  </t>
  </si>
  <si>
    <t>Loan</t>
  </si>
  <si>
    <t xml:space="preserve">Bank </t>
  </si>
  <si>
    <t>depreciation exo</t>
  </si>
  <si>
    <t>ins exp</t>
  </si>
  <si>
    <t>supplies exp</t>
  </si>
  <si>
    <t xml:space="preserve">Assets </t>
  </si>
  <si>
    <t>Bank loan</t>
  </si>
  <si>
    <t>Equity</t>
  </si>
  <si>
    <t xml:space="preserve">Revenues= earned </t>
  </si>
  <si>
    <t>electricity</t>
  </si>
  <si>
    <t xml:space="preserve">16- Co.  Paid employees monthly salaries for $20,000 </t>
  </si>
  <si>
    <t xml:space="preserve">Profit </t>
  </si>
  <si>
    <t xml:space="preserve">Retained Earnings </t>
  </si>
  <si>
    <t xml:space="preserve">Ending </t>
  </si>
  <si>
    <t>Retained Earnings</t>
  </si>
  <si>
    <t>Total equity</t>
  </si>
  <si>
    <t>Unearned Revenues</t>
  </si>
  <si>
    <t>Accrued Expenses</t>
  </si>
  <si>
    <t xml:space="preserve">Liabilities </t>
  </si>
  <si>
    <t xml:space="preserve">Total Liabilities </t>
  </si>
  <si>
    <t>Total Liabilities and Equities</t>
  </si>
  <si>
    <t xml:space="preserve">Beginning </t>
  </si>
  <si>
    <t xml:space="preserve">Add: investments </t>
  </si>
  <si>
    <t>Prepaid Insurance</t>
  </si>
  <si>
    <t>End of month Balances</t>
  </si>
  <si>
    <t>Dep/month=</t>
  </si>
  <si>
    <t>6- Omar paid $5000 cash of his balance</t>
  </si>
  <si>
    <t>19- Recording monthly depreciation of the equipment=accumulated Depreciation</t>
  </si>
  <si>
    <t>book value</t>
  </si>
  <si>
    <t xml:space="preserve">Equipmentb </t>
  </si>
  <si>
    <t>acc dep</t>
  </si>
  <si>
    <t>Profit and loss (statement of Performance)</t>
  </si>
  <si>
    <t>Profit</t>
  </si>
  <si>
    <t>Less: dividends</t>
  </si>
  <si>
    <t xml:space="preserve">statement of changes in Owner's Equity </t>
  </si>
  <si>
    <t>Balance Sheet= statement of Financial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</si>
</sst>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3" fontId="0" fillId="0" borderId="0" xfId="0" applyNumberFormat="1"/>
    <xf numFmtId="6" fontId="0" fillId="0" borderId="0" xfId="0" applyNumberFormat="1"/>
    <xf numFmtId="0" fontId="0" fillId="4" borderId="0" xfId="0" applyFill="1"/>
    <xf numFmtId="0" fontId="0" fillId="6" borderId="0" xfId="0" applyFill="1"/>
    <xf numFmtId="0" fontId="0" fillId="0" borderId="0" xfId="0" applyAlignment="1">
      <alignment horizontal="center"/>
    </xf>
    <xf numFmtId="3" fontId="1" fillId="0" borderId="0" xfId="0" applyNumberFormat="1" applyFont="1"/>
    <xf numFmtId="0" fontId="0" fillId="0" borderId="1" xfId="0" applyBorder="1"/>
    <xf numFmtId="0" fontId="2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0" applyFont="1"/>
    <xf numFmtId="0" fontId="0" fillId="0" borderId="4" xfId="0" applyBorder="1"/>
    <xf numFmtId="0" fontId="1" fillId="7" borderId="6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3" fontId="0" fillId="7" borderId="1" xfId="0" applyNumberFormat="1" applyFill="1" applyBorder="1"/>
    <xf numFmtId="0" fontId="0" fillId="7" borderId="1" xfId="0" applyFill="1" applyBorder="1"/>
    <xf numFmtId="0" fontId="4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5" borderId="1" xfId="0" applyFill="1" applyBorder="1"/>
    <xf numFmtId="3" fontId="0" fillId="5" borderId="1" xfId="0" applyNumberFormat="1" applyFill="1" applyBorder="1"/>
    <xf numFmtId="3" fontId="0" fillId="2" borderId="1" xfId="0" applyNumberFormat="1" applyFill="1" applyBorder="1"/>
    <xf numFmtId="3" fontId="0" fillId="3" borderId="1" xfId="0" applyNumberFormat="1" applyFill="1" applyBorder="1"/>
    <xf numFmtId="0" fontId="0" fillId="3" borderId="1" xfId="0" applyFill="1" applyBorder="1"/>
    <xf numFmtId="0" fontId="0" fillId="2" borderId="1" xfId="0" applyFill="1" applyBorder="1"/>
    <xf numFmtId="16" fontId="0" fillId="0" borderId="1" xfId="0" applyNumberFormat="1" applyBorder="1"/>
    <xf numFmtId="16" fontId="0" fillId="4" borderId="0" xfId="0" applyNumberFormat="1" applyFill="1"/>
    <xf numFmtId="3" fontId="0" fillId="4" borderId="0" xfId="0" applyNumberFormat="1" applyFill="1"/>
    <xf numFmtId="3" fontId="0" fillId="4" borderId="1" xfId="0" applyNumberFormat="1" applyFill="1" applyBorder="1"/>
    <xf numFmtId="0" fontId="3" fillId="2" borderId="1" xfId="0" applyFont="1" applyFill="1" applyBorder="1"/>
    <xf numFmtId="3" fontId="1" fillId="2" borderId="1" xfId="0" applyNumberFormat="1" applyFont="1" applyFill="1" applyBorder="1"/>
    <xf numFmtId="0" fontId="1" fillId="2" borderId="0" xfId="0" applyFont="1" applyFill="1"/>
    <xf numFmtId="0" fontId="0" fillId="2" borderId="0" xfId="0" applyFill="1"/>
    <xf numFmtId="0" fontId="3" fillId="2" borderId="3" xfId="0" applyFont="1" applyFill="1" applyBorder="1"/>
    <xf numFmtId="3" fontId="0" fillId="2" borderId="3" xfId="0" applyNumberFormat="1" applyFill="1" applyBorder="1"/>
    <xf numFmtId="3" fontId="0" fillId="4" borderId="3" xfId="0" applyNumberFormat="1" applyFill="1" applyBorder="1"/>
    <xf numFmtId="3" fontId="1" fillId="8" borderId="0" xfId="0" applyNumberFormat="1" applyFont="1" applyFill="1"/>
    <xf numFmtId="3" fontId="0" fillId="8" borderId="0" xfId="0" applyNumberFormat="1" applyFill="1"/>
    <xf numFmtId="0" fontId="1" fillId="3" borderId="0" xfId="0" applyFont="1" applyFill="1"/>
    <xf numFmtId="3" fontId="1" fillId="3" borderId="0" xfId="0" applyNumberFormat="1" applyFont="1" applyFill="1"/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left" vertical="center" wrapText="1" readingOrder="2"/>
    </xf>
    <xf numFmtId="0" fontId="5" fillId="0" borderId="0" xfId="0" applyFont="1" applyAlignment="1">
      <alignment horizontal="right" vertical="center" wrapText="1" readingOrder="2"/>
    </xf>
    <xf numFmtId="0" fontId="0" fillId="0" borderId="0" xfId="0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" fontId="0" fillId="0" borderId="0" xfId="0" applyNumberFormat="1" applyAlignment="1">
      <alignment horizontal="center"/>
    </xf>
    <xf numFmtId="0" fontId="1" fillId="0" borderId="0" xfId="0" applyFont="1" applyFill="1"/>
    <xf numFmtId="3" fontId="1" fillId="0" borderId="0" xfId="0" applyNumberFormat="1" applyFont="1" applyFill="1"/>
    <xf numFmtId="0" fontId="0" fillId="0" borderId="0" xfId="0" applyFill="1"/>
    <xf numFmtId="3" fontId="0" fillId="0" borderId="0" xfId="0" applyNumberFormat="1" applyFill="1"/>
    <xf numFmtId="3" fontId="0" fillId="0" borderId="0" xfId="0" applyNumberFormat="1" applyFont="1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"/>
  <sheetViews>
    <sheetView tabSelected="1" topLeftCell="J8" zoomScale="89" zoomScaleNormal="89" workbookViewId="0">
      <selection activeCell="U27" sqref="U27:U28"/>
    </sheetView>
  </sheetViews>
  <sheetFormatPr defaultRowHeight="14.25" x14ac:dyDescent="0.45"/>
  <cols>
    <col min="1" max="1" width="72.53125" customWidth="1"/>
    <col min="2" max="2" width="10.796875" customWidth="1"/>
    <col min="3" max="3" width="13.59765625" customWidth="1"/>
    <col min="4" max="4" width="10.59765625" customWidth="1"/>
    <col min="6" max="6" width="13.33203125" customWidth="1"/>
    <col min="9" max="9" width="12.53125" customWidth="1"/>
    <col min="10" max="10" width="11.06640625" customWidth="1"/>
    <col min="11" max="11" width="14.9296875" customWidth="1"/>
    <col min="12" max="12" width="13.53125" customWidth="1"/>
    <col min="13" max="13" width="11.19921875" customWidth="1"/>
    <col min="14" max="14" width="8.796875" style="4"/>
    <col min="18" max="18" width="15.06640625" customWidth="1"/>
    <col min="20" max="20" width="16" customWidth="1"/>
  </cols>
  <sheetData>
    <row r="1" spans="1:21" x14ac:dyDescent="0.45">
      <c r="A1" s="7"/>
      <c r="B1" s="57" t="s">
        <v>89</v>
      </c>
      <c r="C1" s="57"/>
      <c r="D1" s="57"/>
      <c r="E1" s="57"/>
      <c r="F1" s="57"/>
      <c r="G1" s="57" t="s">
        <v>90</v>
      </c>
      <c r="H1" s="57"/>
      <c r="I1" s="57"/>
      <c r="J1" s="57"/>
      <c r="K1" s="57"/>
      <c r="L1" s="57"/>
      <c r="M1" s="57"/>
      <c r="N1" s="57"/>
      <c r="O1" s="57"/>
    </row>
    <row r="2" spans="1:21" x14ac:dyDescent="0.45">
      <c r="A2" s="7"/>
      <c r="B2" s="51" t="s">
        <v>83</v>
      </c>
      <c r="C2" s="51"/>
      <c r="D2" s="51"/>
      <c r="E2" s="51"/>
      <c r="F2" s="51"/>
      <c r="G2" s="52" t="s">
        <v>84</v>
      </c>
      <c r="H2" s="52"/>
      <c r="I2" s="52"/>
      <c r="J2" s="52"/>
      <c r="K2" s="52"/>
      <c r="L2" s="52" t="s">
        <v>85</v>
      </c>
      <c r="M2" s="52"/>
      <c r="N2" s="52"/>
      <c r="O2" s="52"/>
    </row>
    <row r="3" spans="1:21" x14ac:dyDescent="0.45">
      <c r="A3" s="13"/>
      <c r="B3" s="14" t="s">
        <v>0</v>
      </c>
      <c r="C3" s="15" t="s">
        <v>125</v>
      </c>
      <c r="D3" s="16" t="s">
        <v>86</v>
      </c>
      <c r="E3" s="15" t="s">
        <v>87</v>
      </c>
      <c r="F3" s="17" t="s">
        <v>88</v>
      </c>
      <c r="G3" s="21" t="s">
        <v>130</v>
      </c>
      <c r="H3" s="21" t="s">
        <v>103</v>
      </c>
      <c r="I3" s="21" t="s">
        <v>125</v>
      </c>
      <c r="J3" s="21" t="s">
        <v>123</v>
      </c>
      <c r="K3" s="21" t="s">
        <v>128</v>
      </c>
      <c r="L3" s="22" t="s">
        <v>2</v>
      </c>
      <c r="M3" s="22" t="s">
        <v>137</v>
      </c>
      <c r="N3" s="22" t="s">
        <v>3</v>
      </c>
      <c r="O3" s="23" t="s">
        <v>4</v>
      </c>
    </row>
    <row r="4" spans="1:21" x14ac:dyDescent="0.45">
      <c r="A4" s="7"/>
      <c r="B4" s="18"/>
      <c r="C4" s="18" t="s">
        <v>127</v>
      </c>
      <c r="D4" s="18"/>
      <c r="E4" s="18"/>
      <c r="F4" s="18" t="s">
        <v>126</v>
      </c>
      <c r="G4" s="24" t="s">
        <v>129</v>
      </c>
      <c r="H4" s="24" t="s">
        <v>138</v>
      </c>
      <c r="I4" s="24" t="s">
        <v>124</v>
      </c>
      <c r="J4" s="24" t="s">
        <v>122</v>
      </c>
      <c r="K4" s="24" t="s">
        <v>3</v>
      </c>
      <c r="L4" s="25"/>
      <c r="M4" s="25"/>
      <c r="N4" s="25"/>
      <c r="O4" s="25"/>
    </row>
    <row r="5" spans="1:21" ht="15.75" x14ac:dyDescent="0.5">
      <c r="A5" s="8" t="s">
        <v>5</v>
      </c>
      <c r="B5" s="19">
        <v>100000</v>
      </c>
      <c r="C5" s="20"/>
      <c r="D5" s="20"/>
      <c r="E5" s="20"/>
      <c r="F5" s="20"/>
      <c r="G5" s="26"/>
      <c r="H5" s="26"/>
      <c r="I5" s="26"/>
      <c r="J5" s="26"/>
      <c r="K5" s="26"/>
      <c r="L5" s="27">
        <v>100000</v>
      </c>
      <c r="M5" s="26"/>
      <c r="N5" s="26"/>
      <c r="O5" s="26"/>
      <c r="P5" s="1"/>
      <c r="R5" s="54" t="s">
        <v>160</v>
      </c>
      <c r="S5" s="55"/>
      <c r="T5" s="55"/>
    </row>
    <row r="6" spans="1:21" ht="15.75" x14ac:dyDescent="0.5">
      <c r="A6" s="8" t="s">
        <v>104</v>
      </c>
      <c r="B6" s="19">
        <v>100000</v>
      </c>
      <c r="C6" s="20"/>
      <c r="D6" s="20"/>
      <c r="E6" s="20"/>
      <c r="F6" s="20"/>
      <c r="G6" s="27">
        <v>100000</v>
      </c>
      <c r="H6" s="27"/>
      <c r="I6" s="26"/>
      <c r="J6" s="26"/>
      <c r="K6" s="26"/>
      <c r="L6" s="26"/>
      <c r="M6" s="26"/>
      <c r="N6" s="26"/>
      <c r="O6" s="26"/>
      <c r="R6" t="s">
        <v>22</v>
      </c>
      <c r="S6" s="1">
        <v>102500</v>
      </c>
    </row>
    <row r="7" spans="1:21" ht="15.75" x14ac:dyDescent="0.5">
      <c r="A7" s="8" t="s">
        <v>105</v>
      </c>
      <c r="B7" s="19">
        <v>50000</v>
      </c>
      <c r="C7" s="20"/>
      <c r="D7" s="20"/>
      <c r="E7" s="20"/>
      <c r="F7" s="20"/>
      <c r="G7" s="26"/>
      <c r="H7" s="26"/>
      <c r="I7" s="26"/>
      <c r="J7" s="26"/>
      <c r="K7" s="26"/>
      <c r="L7" s="26"/>
      <c r="M7" s="27">
        <v>50000</v>
      </c>
      <c r="N7" s="26"/>
      <c r="O7" s="26"/>
      <c r="R7" t="s">
        <v>3</v>
      </c>
      <c r="S7" s="1">
        <v>-57750</v>
      </c>
    </row>
    <row r="8" spans="1:21" ht="15.75" x14ac:dyDescent="0.5">
      <c r="A8" s="8" t="s">
        <v>106</v>
      </c>
      <c r="B8" s="20"/>
      <c r="C8" s="19">
        <v>20000</v>
      </c>
      <c r="D8" s="20"/>
      <c r="E8" s="20"/>
      <c r="F8" s="20"/>
      <c r="G8" s="26"/>
      <c r="H8" s="26"/>
      <c r="I8" s="26"/>
      <c r="J8" s="26"/>
      <c r="K8" s="26"/>
      <c r="L8" s="26"/>
      <c r="M8" s="27">
        <v>20000</v>
      </c>
      <c r="N8" s="26"/>
      <c r="O8" s="26"/>
      <c r="R8" s="9" t="s">
        <v>140</v>
      </c>
      <c r="S8" s="43">
        <f>SUM(S6:S7)</f>
        <v>44750</v>
      </c>
      <c r="U8" s="1"/>
    </row>
    <row r="9" spans="1:21" ht="15.75" x14ac:dyDescent="0.5">
      <c r="A9" s="8" t="s">
        <v>155</v>
      </c>
      <c r="B9" s="19">
        <v>5000</v>
      </c>
      <c r="C9" s="20">
        <v>-5000</v>
      </c>
      <c r="D9" s="20"/>
      <c r="E9" s="20"/>
      <c r="F9" s="20"/>
      <c r="G9" s="26"/>
      <c r="H9" s="26"/>
      <c r="I9" s="26"/>
      <c r="J9" s="26"/>
      <c r="K9" s="26"/>
      <c r="L9" s="26"/>
      <c r="M9" s="26"/>
      <c r="N9" s="26"/>
      <c r="O9" s="26"/>
    </row>
    <row r="10" spans="1:21" ht="15.75" x14ac:dyDescent="0.5">
      <c r="A10" s="8" t="s">
        <v>107</v>
      </c>
      <c r="B10" s="19">
        <v>-84000</v>
      </c>
      <c r="C10" s="20"/>
      <c r="D10" s="19">
        <v>84000</v>
      </c>
      <c r="E10" s="20"/>
      <c r="F10" s="20"/>
      <c r="G10" s="26"/>
      <c r="H10" s="26"/>
      <c r="I10" s="26"/>
      <c r="J10" s="26"/>
      <c r="K10" s="26"/>
      <c r="L10" s="26"/>
      <c r="M10" s="26"/>
      <c r="N10" s="26"/>
      <c r="O10" s="26"/>
      <c r="R10" s="55" t="s">
        <v>163</v>
      </c>
      <c r="S10" s="55"/>
      <c r="T10" s="55"/>
      <c r="U10" s="55"/>
    </row>
    <row r="11" spans="1:21" ht="15.75" x14ac:dyDescent="0.5">
      <c r="A11" s="8" t="s">
        <v>108</v>
      </c>
      <c r="B11" s="20"/>
      <c r="C11" s="20"/>
      <c r="D11" s="20"/>
      <c r="E11" s="19">
        <v>20000</v>
      </c>
      <c r="F11" s="20"/>
      <c r="G11" s="26"/>
      <c r="H11" s="27"/>
      <c r="I11" s="27">
        <v>20000</v>
      </c>
      <c r="J11" s="26"/>
      <c r="K11" s="26"/>
      <c r="L11" s="26"/>
      <c r="M11" s="26"/>
      <c r="N11" s="26"/>
      <c r="O11" s="26"/>
      <c r="S11" s="9" t="s">
        <v>2</v>
      </c>
      <c r="T11" s="9" t="s">
        <v>141</v>
      </c>
      <c r="U11" s="9" t="s">
        <v>9</v>
      </c>
    </row>
    <row r="12" spans="1:21" ht="15.75" x14ac:dyDescent="0.5">
      <c r="A12" s="8" t="s">
        <v>109</v>
      </c>
      <c r="B12" s="19">
        <v>-8000</v>
      </c>
      <c r="C12" s="20"/>
      <c r="D12" s="20"/>
      <c r="E12" s="20"/>
      <c r="F12" s="20"/>
      <c r="G12" s="26"/>
      <c r="H12" s="26"/>
      <c r="I12" s="27">
        <v>-8000</v>
      </c>
      <c r="J12" s="26"/>
      <c r="K12" s="26"/>
      <c r="L12" s="26"/>
      <c r="M12" s="26"/>
      <c r="N12" s="26"/>
      <c r="O12" s="26"/>
      <c r="R12" s="9" t="s">
        <v>150</v>
      </c>
      <c r="S12" s="1">
        <v>100000</v>
      </c>
      <c r="T12">
        <v>0</v>
      </c>
      <c r="U12" s="1">
        <v>100000</v>
      </c>
    </row>
    <row r="13" spans="1:21" ht="15.75" x14ac:dyDescent="0.5">
      <c r="A13" s="8" t="s">
        <v>110</v>
      </c>
      <c r="B13" s="19">
        <v>-10000</v>
      </c>
      <c r="C13" s="20"/>
      <c r="D13" s="20"/>
      <c r="E13" s="20"/>
      <c r="F13" s="20"/>
      <c r="G13" s="26"/>
      <c r="H13" s="26"/>
      <c r="I13" s="26"/>
      <c r="J13" s="26"/>
      <c r="K13" s="26"/>
      <c r="L13" s="26"/>
      <c r="M13" s="26"/>
      <c r="N13" s="27">
        <v>-10000</v>
      </c>
      <c r="O13" s="26"/>
      <c r="R13" t="s">
        <v>151</v>
      </c>
      <c r="S13">
        <v>0</v>
      </c>
    </row>
    <row r="14" spans="1:21" ht="15.75" x14ac:dyDescent="0.5">
      <c r="A14" s="8" t="s">
        <v>111</v>
      </c>
      <c r="B14" s="20"/>
      <c r="C14" s="20"/>
      <c r="D14" s="20"/>
      <c r="E14" s="20"/>
      <c r="F14" s="20"/>
      <c r="G14" s="26"/>
      <c r="H14" s="26">
        <v>3000</v>
      </c>
      <c r="I14" s="27"/>
      <c r="J14" s="26"/>
      <c r="K14" s="26"/>
      <c r="L14" s="26"/>
      <c r="M14" s="26"/>
      <c r="N14" s="26">
        <v>-3000</v>
      </c>
      <c r="O14" s="26"/>
      <c r="R14" t="s">
        <v>161</v>
      </c>
      <c r="T14" s="44">
        <v>44750</v>
      </c>
    </row>
    <row r="15" spans="1:21" ht="15.75" x14ac:dyDescent="0.5">
      <c r="A15" s="8" t="s">
        <v>112</v>
      </c>
      <c r="B15" s="19">
        <v>-3000</v>
      </c>
      <c r="C15" s="20"/>
      <c r="D15" s="20"/>
      <c r="E15" s="20"/>
      <c r="F15" s="20"/>
      <c r="G15" s="26"/>
      <c r="H15" s="26">
        <v>-3000</v>
      </c>
      <c r="I15" s="26"/>
      <c r="J15" s="26"/>
      <c r="K15" s="26"/>
      <c r="L15" s="26"/>
      <c r="M15" s="26"/>
      <c r="N15" s="26"/>
      <c r="O15" s="26"/>
      <c r="R15" t="s">
        <v>162</v>
      </c>
      <c r="T15" s="1">
        <v>-15000</v>
      </c>
    </row>
    <row r="16" spans="1:21" ht="15.75" x14ac:dyDescent="0.5">
      <c r="A16" s="8" t="s">
        <v>113</v>
      </c>
      <c r="B16" s="19">
        <v>-15000</v>
      </c>
      <c r="C16" s="20"/>
      <c r="D16" s="20"/>
      <c r="E16" s="20"/>
      <c r="F16" s="20"/>
      <c r="G16" s="26"/>
      <c r="H16" s="26"/>
      <c r="I16" s="26"/>
      <c r="J16" s="26"/>
      <c r="K16" s="26"/>
      <c r="L16" s="26"/>
      <c r="M16" s="26"/>
      <c r="N16" s="26"/>
      <c r="O16" s="26">
        <v>-15000</v>
      </c>
      <c r="R16" s="9" t="s">
        <v>142</v>
      </c>
      <c r="S16" s="46">
        <v>100000</v>
      </c>
      <c r="T16" s="46">
        <f>T14+T15</f>
        <v>29750</v>
      </c>
      <c r="U16" s="6">
        <v>129750</v>
      </c>
    </row>
    <row r="17" spans="1:22" ht="15.75" x14ac:dyDescent="0.5">
      <c r="A17" s="8" t="s">
        <v>114</v>
      </c>
      <c r="B17" s="19">
        <v>-60000</v>
      </c>
      <c r="C17" s="20"/>
      <c r="D17" s="20"/>
      <c r="E17" s="20"/>
      <c r="F17" s="19">
        <v>60000</v>
      </c>
      <c r="G17" s="26"/>
      <c r="H17" s="26"/>
      <c r="I17" s="26"/>
      <c r="J17" s="26"/>
      <c r="K17" s="26"/>
      <c r="L17" s="26"/>
      <c r="M17" s="26"/>
      <c r="N17" s="26"/>
      <c r="O17" s="26"/>
    </row>
    <row r="18" spans="1:22" ht="15.75" x14ac:dyDescent="0.5">
      <c r="A18" s="8" t="s">
        <v>115</v>
      </c>
      <c r="B18" s="19">
        <v>10000</v>
      </c>
      <c r="C18" s="20"/>
      <c r="D18" s="20"/>
      <c r="E18" s="20"/>
      <c r="F18" s="20"/>
      <c r="G18" s="26"/>
      <c r="H18" s="26"/>
      <c r="I18" s="26"/>
      <c r="J18" s="27">
        <v>10000</v>
      </c>
      <c r="K18" s="26"/>
      <c r="L18" s="26"/>
      <c r="M18" s="26"/>
      <c r="N18" s="26"/>
      <c r="O18" s="26"/>
      <c r="R18" s="56" t="s">
        <v>164</v>
      </c>
      <c r="S18" s="56"/>
      <c r="T18" s="56"/>
      <c r="U18" s="56"/>
    </row>
    <row r="19" spans="1:22" ht="15.75" x14ac:dyDescent="0.5">
      <c r="A19" s="8" t="s">
        <v>139</v>
      </c>
      <c r="B19" s="19">
        <v>-20000</v>
      </c>
      <c r="C19" s="20"/>
      <c r="D19" s="20"/>
      <c r="E19" s="20"/>
      <c r="F19" s="20"/>
      <c r="G19" s="26"/>
      <c r="H19" s="26"/>
      <c r="I19" s="26"/>
      <c r="J19" s="27"/>
      <c r="K19" s="26"/>
      <c r="L19" s="26"/>
      <c r="M19" s="26"/>
      <c r="N19" s="27">
        <v>-20000</v>
      </c>
      <c r="O19" s="26"/>
      <c r="R19" s="9" t="s">
        <v>134</v>
      </c>
      <c r="T19" s="9" t="s">
        <v>147</v>
      </c>
    </row>
    <row r="20" spans="1:22" s="38" customFormat="1" ht="15.75" x14ac:dyDescent="0.5">
      <c r="A20" s="36" t="s">
        <v>153</v>
      </c>
      <c r="B20" s="37">
        <f>SUM(B5:B19)</f>
        <v>65000</v>
      </c>
      <c r="C20" s="37">
        <f t="shared" ref="C20:O20" si="0">SUM(C5:C19)</f>
        <v>15000</v>
      </c>
      <c r="D20" s="37">
        <f t="shared" si="0"/>
        <v>84000</v>
      </c>
      <c r="E20" s="37">
        <f t="shared" si="0"/>
        <v>20000</v>
      </c>
      <c r="F20" s="37">
        <f t="shared" si="0"/>
        <v>60000</v>
      </c>
      <c r="G20" s="37">
        <f t="shared" si="0"/>
        <v>100000</v>
      </c>
      <c r="H20" s="37">
        <f t="shared" si="0"/>
        <v>0</v>
      </c>
      <c r="I20" s="37">
        <f t="shared" si="0"/>
        <v>12000</v>
      </c>
      <c r="J20" s="37">
        <f t="shared" si="0"/>
        <v>10000</v>
      </c>
      <c r="K20" s="37">
        <f t="shared" si="0"/>
        <v>0</v>
      </c>
      <c r="L20" s="37">
        <f t="shared" si="0"/>
        <v>100000</v>
      </c>
      <c r="M20" s="37">
        <f t="shared" si="0"/>
        <v>70000</v>
      </c>
      <c r="N20" s="37">
        <f t="shared" si="0"/>
        <v>-33000</v>
      </c>
      <c r="O20" s="37">
        <f t="shared" si="0"/>
        <v>-15000</v>
      </c>
      <c r="P20" s="60"/>
      <c r="Q20" s="59"/>
      <c r="R20" s="59" t="s">
        <v>0</v>
      </c>
      <c r="S20" s="63">
        <f>B28</f>
        <v>65000</v>
      </c>
      <c r="T20" s="61" t="s">
        <v>135</v>
      </c>
      <c r="U20" s="62">
        <f>G28</f>
        <v>100000</v>
      </c>
    </row>
    <row r="21" spans="1:22" ht="15.75" x14ac:dyDescent="0.5">
      <c r="A21" s="8" t="s">
        <v>116</v>
      </c>
      <c r="B21" s="19"/>
      <c r="C21" s="20"/>
      <c r="D21" s="20"/>
      <c r="E21" s="20">
        <v>-15000</v>
      </c>
      <c r="F21" s="20"/>
      <c r="G21" s="26"/>
      <c r="H21" s="26"/>
      <c r="I21" s="26"/>
      <c r="J21" s="26"/>
      <c r="K21" s="26"/>
      <c r="L21" s="26"/>
      <c r="M21" s="26"/>
      <c r="N21" s="26">
        <v>-15000</v>
      </c>
      <c r="O21" s="26"/>
      <c r="P21" t="s">
        <v>133</v>
      </c>
      <c r="R21" s="61" t="s">
        <v>82</v>
      </c>
      <c r="S21" s="62">
        <f>C28</f>
        <v>45000</v>
      </c>
      <c r="T21" t="s">
        <v>91</v>
      </c>
      <c r="U21" s="1">
        <f>H28</f>
        <v>0</v>
      </c>
    </row>
    <row r="22" spans="1:22" ht="15.75" x14ac:dyDescent="0.5">
      <c r="A22" s="8" t="s">
        <v>117</v>
      </c>
      <c r="B22" s="20"/>
      <c r="C22" s="20"/>
      <c r="D22" s="20"/>
      <c r="E22" s="20"/>
      <c r="F22" s="20">
        <v>-5000</v>
      </c>
      <c r="G22" s="26"/>
      <c r="H22" s="26"/>
      <c r="I22" s="26"/>
      <c r="J22" s="26"/>
      <c r="K22" s="26"/>
      <c r="L22" s="26"/>
      <c r="M22" s="26"/>
      <c r="N22" s="26">
        <v>-5000</v>
      </c>
      <c r="O22" s="26"/>
      <c r="P22" t="s">
        <v>132</v>
      </c>
      <c r="R22" s="61" t="s">
        <v>86</v>
      </c>
      <c r="S22" s="62">
        <f>D28</f>
        <v>83000</v>
      </c>
      <c r="T22" t="s">
        <v>91</v>
      </c>
      <c r="U22" s="1">
        <f>I28</f>
        <v>12000</v>
      </c>
    </row>
    <row r="23" spans="1:22" ht="15.75" x14ac:dyDescent="0.5">
      <c r="A23" s="8" t="s">
        <v>156</v>
      </c>
      <c r="B23" s="20"/>
      <c r="C23" s="20"/>
      <c r="D23" s="20">
        <v>-1000</v>
      </c>
      <c r="E23" s="20"/>
      <c r="F23" s="20"/>
      <c r="G23" s="26"/>
      <c r="H23" s="26"/>
      <c r="I23" s="26"/>
      <c r="J23" s="26"/>
      <c r="K23" s="26"/>
      <c r="L23" s="26"/>
      <c r="M23" s="26"/>
      <c r="N23" s="26">
        <v>-1000</v>
      </c>
      <c r="O23" s="26"/>
      <c r="P23" t="s">
        <v>131</v>
      </c>
      <c r="R23" s="61" t="s">
        <v>87</v>
      </c>
      <c r="S23" s="62">
        <f>E28</f>
        <v>5000</v>
      </c>
      <c r="T23" t="s">
        <v>145</v>
      </c>
      <c r="U23" s="1">
        <f>J28</f>
        <v>7500</v>
      </c>
    </row>
    <row r="24" spans="1:22" ht="15.75" x14ac:dyDescent="0.5">
      <c r="A24" s="8" t="s">
        <v>118</v>
      </c>
      <c r="B24" s="20"/>
      <c r="C24" s="20"/>
      <c r="D24" s="20"/>
      <c r="E24" s="20"/>
      <c r="F24" s="20"/>
      <c r="G24" s="26"/>
      <c r="H24" s="26"/>
      <c r="I24" s="26"/>
      <c r="J24" s="26">
        <v>-2500</v>
      </c>
      <c r="K24" s="26"/>
      <c r="L24" s="26"/>
      <c r="M24" s="26">
        <v>2500</v>
      </c>
      <c r="N24" s="26"/>
      <c r="O24" s="26"/>
      <c r="R24" s="61" t="s">
        <v>152</v>
      </c>
      <c r="S24" s="62">
        <f>F28</f>
        <v>55000</v>
      </c>
      <c r="T24" t="s">
        <v>146</v>
      </c>
      <c r="U24" s="1">
        <f>K28</f>
        <v>3750</v>
      </c>
    </row>
    <row r="25" spans="1:22" ht="15.75" x14ac:dyDescent="0.5">
      <c r="A25" s="8" t="s">
        <v>119</v>
      </c>
      <c r="B25" s="20"/>
      <c r="C25" s="20"/>
      <c r="D25" s="20"/>
      <c r="E25" s="20"/>
      <c r="F25" s="20"/>
      <c r="G25" s="26"/>
      <c r="H25" s="26"/>
      <c r="I25" s="26"/>
      <c r="J25" s="26"/>
      <c r="K25" s="26">
        <v>2000</v>
      </c>
      <c r="L25" s="26"/>
      <c r="M25" s="26"/>
      <c r="N25" s="26">
        <v>-2000</v>
      </c>
      <c r="O25" s="26"/>
      <c r="T25" s="45" t="s">
        <v>148</v>
      </c>
      <c r="U25" s="46">
        <f>SUM(U20:U24)</f>
        <v>123250</v>
      </c>
    </row>
    <row r="26" spans="1:22" ht="15.75" x14ac:dyDescent="0.5">
      <c r="A26" s="8" t="s">
        <v>120</v>
      </c>
      <c r="B26" s="20"/>
      <c r="C26" s="19">
        <v>30000</v>
      </c>
      <c r="D26" s="20"/>
      <c r="E26" s="20"/>
      <c r="F26" s="20"/>
      <c r="G26" s="26"/>
      <c r="H26" s="26"/>
      <c r="I26" s="26"/>
      <c r="J26" s="26"/>
      <c r="K26" s="26"/>
      <c r="L26" s="26"/>
      <c r="M26" s="27">
        <v>30000</v>
      </c>
      <c r="N26" s="26"/>
      <c r="O26" s="26"/>
      <c r="T26" s="9" t="s">
        <v>136</v>
      </c>
    </row>
    <row r="27" spans="1:22" ht="15.75" x14ac:dyDescent="0.5">
      <c r="A27" s="8" t="s">
        <v>121</v>
      </c>
      <c r="B27" s="20"/>
      <c r="C27" s="19"/>
      <c r="D27" s="20"/>
      <c r="E27" s="20"/>
      <c r="F27" s="20"/>
      <c r="G27" s="26"/>
      <c r="H27" s="26"/>
      <c r="I27" s="26"/>
      <c r="J27" s="26"/>
      <c r="K27" s="26">
        <v>1750</v>
      </c>
      <c r="L27" s="26"/>
      <c r="M27" s="27"/>
      <c r="N27" s="26">
        <v>-1750</v>
      </c>
      <c r="O27" s="26"/>
      <c r="T27" t="s">
        <v>2</v>
      </c>
      <c r="U27" s="64">
        <f>L28</f>
        <v>100000</v>
      </c>
    </row>
    <row r="28" spans="1:22" s="39" customFormat="1" ht="16.149999999999999" thickBot="1" x14ac:dyDescent="0.55000000000000004">
      <c r="A28" s="40" t="s">
        <v>6</v>
      </c>
      <c r="B28" s="41">
        <f>SUM(B20:B27)</f>
        <v>65000</v>
      </c>
      <c r="C28" s="41">
        <f t="shared" ref="C28:O28" si="1">SUM(C20:C27)</f>
        <v>45000</v>
      </c>
      <c r="D28" s="41">
        <f t="shared" si="1"/>
        <v>83000</v>
      </c>
      <c r="E28" s="41">
        <f t="shared" si="1"/>
        <v>5000</v>
      </c>
      <c r="F28" s="41">
        <f t="shared" si="1"/>
        <v>55000</v>
      </c>
      <c r="G28" s="41">
        <f t="shared" si="1"/>
        <v>100000</v>
      </c>
      <c r="H28" s="41">
        <f t="shared" si="1"/>
        <v>0</v>
      </c>
      <c r="I28" s="41">
        <f t="shared" si="1"/>
        <v>12000</v>
      </c>
      <c r="J28" s="41">
        <f t="shared" si="1"/>
        <v>7500</v>
      </c>
      <c r="K28" s="41">
        <f t="shared" si="1"/>
        <v>3750</v>
      </c>
      <c r="L28" s="42">
        <f t="shared" si="1"/>
        <v>100000</v>
      </c>
      <c r="M28" s="42">
        <f t="shared" si="1"/>
        <v>102500</v>
      </c>
      <c r="N28" s="42">
        <f t="shared" si="1"/>
        <v>-57750</v>
      </c>
      <c r="O28" s="42">
        <f t="shared" si="1"/>
        <v>-15000</v>
      </c>
      <c r="P28" s="61"/>
      <c r="Q28" s="61"/>
      <c r="R28" s="61"/>
      <c r="S28" s="61"/>
      <c r="T28" s="61" t="s">
        <v>143</v>
      </c>
      <c r="U28" s="64">
        <f>T16</f>
        <v>29750</v>
      </c>
      <c r="V28" s="61"/>
    </row>
    <row r="29" spans="1:22" x14ac:dyDescent="0.45">
      <c r="D29" t="s">
        <v>157</v>
      </c>
      <c r="L29" s="1"/>
      <c r="M29" s="50"/>
      <c r="N29" s="50"/>
      <c r="O29" s="50"/>
      <c r="T29" t="s">
        <v>144</v>
      </c>
      <c r="U29" s="1">
        <f>U27+U28</f>
        <v>129750</v>
      </c>
    </row>
    <row r="30" spans="1:22" ht="15.75" x14ac:dyDescent="0.5">
      <c r="A30" s="12"/>
      <c r="N30"/>
      <c r="R30" s="45" t="s">
        <v>134</v>
      </c>
      <c r="S30" s="46">
        <f>SUM(S20:S24)</f>
        <v>253000</v>
      </c>
      <c r="T30" s="45" t="s">
        <v>149</v>
      </c>
      <c r="U30" s="46">
        <f>U25+U29</f>
        <v>253000</v>
      </c>
    </row>
    <row r="31" spans="1:22" x14ac:dyDescent="0.45">
      <c r="B31" t="s">
        <v>154</v>
      </c>
      <c r="C31" s="1">
        <f>84000/7/12</f>
        <v>1000</v>
      </c>
      <c r="F31" s="53"/>
      <c r="G31" s="50"/>
      <c r="H31" s="5"/>
      <c r="N31"/>
    </row>
    <row r="32" spans="1:22" x14ac:dyDescent="0.45">
      <c r="C32">
        <f>100000*21%/12</f>
        <v>1750</v>
      </c>
      <c r="E32">
        <f>100000*21%*1/12</f>
        <v>1750</v>
      </c>
      <c r="F32" s="1">
        <v>100000</v>
      </c>
      <c r="N32"/>
    </row>
    <row r="33" spans="2:15" x14ac:dyDescent="0.45">
      <c r="F33" s="1"/>
      <c r="N33" s="1"/>
    </row>
    <row r="34" spans="2:15" x14ac:dyDescent="0.45">
      <c r="B34" s="50"/>
      <c r="C34" s="50"/>
      <c r="D34" s="50"/>
      <c r="E34" s="50"/>
      <c r="F34" s="50"/>
      <c r="N34" s="1"/>
    </row>
    <row r="35" spans="2:15" x14ac:dyDescent="0.45">
      <c r="B35" s="1">
        <v>84000</v>
      </c>
      <c r="G35" s="9"/>
      <c r="H35" s="9"/>
      <c r="N35" s="6"/>
    </row>
    <row r="36" spans="2:15" x14ac:dyDescent="0.45">
      <c r="B36" s="50"/>
      <c r="C36" s="50"/>
      <c r="D36" s="50"/>
      <c r="E36" s="50"/>
      <c r="N36"/>
    </row>
    <row r="37" spans="2:15" x14ac:dyDescent="0.45">
      <c r="M37" s="50"/>
      <c r="N37" s="50"/>
      <c r="O37" s="50"/>
    </row>
    <row r="38" spans="2:15" x14ac:dyDescent="0.45">
      <c r="B38" t="s">
        <v>158</v>
      </c>
      <c r="C38" s="1">
        <v>84000</v>
      </c>
      <c r="D38">
        <v>84000</v>
      </c>
      <c r="E38">
        <v>84000</v>
      </c>
      <c r="F38">
        <v>84000</v>
      </c>
      <c r="G38" s="1"/>
      <c r="H38" s="1"/>
      <c r="M38" s="10"/>
      <c r="N38"/>
      <c r="O38" s="1"/>
    </row>
    <row r="39" spans="2:15" x14ac:dyDescent="0.45">
      <c r="B39" t="s">
        <v>159</v>
      </c>
      <c r="C39">
        <v>1000</v>
      </c>
      <c r="D39">
        <v>2000</v>
      </c>
      <c r="E39">
        <v>83000</v>
      </c>
      <c r="F39">
        <v>83999</v>
      </c>
      <c r="J39" s="1"/>
      <c r="M39" s="9"/>
      <c r="N39"/>
    </row>
    <row r="40" spans="2:15" x14ac:dyDescent="0.45">
      <c r="C40">
        <v>83000</v>
      </c>
      <c r="D40" s="5">
        <v>82000</v>
      </c>
      <c r="E40" s="5">
        <v>1000</v>
      </c>
      <c r="F40" s="5">
        <v>1</v>
      </c>
      <c r="N40" s="6"/>
    </row>
    <row r="41" spans="2:15" x14ac:dyDescent="0.45">
      <c r="D41" s="5"/>
      <c r="E41" s="5"/>
      <c r="F41" s="5"/>
      <c r="N41"/>
      <c r="O41" s="1"/>
    </row>
    <row r="42" spans="2:15" x14ac:dyDescent="0.45">
      <c r="D42" s="50"/>
      <c r="E42" s="50"/>
      <c r="F42" s="50"/>
      <c r="N42"/>
      <c r="O42" s="1"/>
    </row>
    <row r="43" spans="2:15" x14ac:dyDescent="0.45">
      <c r="N43"/>
    </row>
    <row r="44" spans="2:15" x14ac:dyDescent="0.45">
      <c r="E44" s="1"/>
      <c r="N44"/>
    </row>
    <row r="45" spans="2:15" x14ac:dyDescent="0.45">
      <c r="F45" s="50"/>
      <c r="G45" s="50"/>
      <c r="H45" s="5"/>
      <c r="N45"/>
    </row>
    <row r="46" spans="2:15" x14ac:dyDescent="0.45">
      <c r="D46" s="5"/>
      <c r="E46" s="11"/>
      <c r="G46" s="50"/>
      <c r="H46" s="50"/>
      <c r="I46" s="50"/>
      <c r="N46"/>
    </row>
    <row r="47" spans="2:15" x14ac:dyDescent="0.45">
      <c r="E47" s="1"/>
      <c r="N47"/>
    </row>
    <row r="48" spans="2:15" x14ac:dyDescent="0.45">
      <c r="N48"/>
    </row>
    <row r="49" spans="14:14" x14ac:dyDescent="0.45">
      <c r="N49"/>
    </row>
    <row r="50" spans="14:14" x14ac:dyDescent="0.45">
      <c r="N50"/>
    </row>
    <row r="51" spans="14:14" x14ac:dyDescent="0.45">
      <c r="N51"/>
    </row>
    <row r="52" spans="14:14" x14ac:dyDescent="0.45">
      <c r="N52"/>
    </row>
    <row r="53" spans="14:14" x14ac:dyDescent="0.45">
      <c r="N53"/>
    </row>
    <row r="54" spans="14:14" x14ac:dyDescent="0.45">
      <c r="N54"/>
    </row>
    <row r="55" spans="14:14" x14ac:dyDescent="0.45">
      <c r="N55"/>
    </row>
    <row r="56" spans="14:14" x14ac:dyDescent="0.45">
      <c r="N56"/>
    </row>
    <row r="57" spans="14:14" x14ac:dyDescent="0.45">
      <c r="N57"/>
    </row>
    <row r="58" spans="14:14" x14ac:dyDescent="0.45">
      <c r="N58"/>
    </row>
    <row r="59" spans="14:14" x14ac:dyDescent="0.45">
      <c r="N59"/>
    </row>
    <row r="60" spans="14:14" x14ac:dyDescent="0.45">
      <c r="N60"/>
    </row>
    <row r="61" spans="14:14" x14ac:dyDescent="0.45">
      <c r="N61"/>
    </row>
    <row r="62" spans="14:14" x14ac:dyDescent="0.45">
      <c r="N62"/>
    </row>
    <row r="63" spans="14:14" x14ac:dyDescent="0.45">
      <c r="N63"/>
    </row>
    <row r="64" spans="14:14" x14ac:dyDescent="0.45">
      <c r="N64"/>
    </row>
    <row r="65" spans="14:14" x14ac:dyDescent="0.45">
      <c r="N65"/>
    </row>
    <row r="66" spans="14:14" x14ac:dyDescent="0.45">
      <c r="N66"/>
    </row>
    <row r="67" spans="14:14" x14ac:dyDescent="0.45">
      <c r="N67"/>
    </row>
    <row r="68" spans="14:14" x14ac:dyDescent="0.45">
      <c r="N68"/>
    </row>
    <row r="69" spans="14:14" x14ac:dyDescent="0.45">
      <c r="N69"/>
    </row>
    <row r="70" spans="14:14" x14ac:dyDescent="0.45">
      <c r="N70"/>
    </row>
    <row r="71" spans="14:14" x14ac:dyDescent="0.45">
      <c r="N71"/>
    </row>
    <row r="72" spans="14:14" x14ac:dyDescent="0.45">
      <c r="N72"/>
    </row>
    <row r="73" spans="14:14" x14ac:dyDescent="0.45">
      <c r="N73"/>
    </row>
    <row r="74" spans="14:14" x14ac:dyDescent="0.45">
      <c r="N74"/>
    </row>
    <row r="75" spans="14:14" x14ac:dyDescent="0.45">
      <c r="N75"/>
    </row>
    <row r="76" spans="14:14" x14ac:dyDescent="0.45">
      <c r="N76"/>
    </row>
    <row r="77" spans="14:14" x14ac:dyDescent="0.45">
      <c r="N77"/>
    </row>
    <row r="78" spans="14:14" x14ac:dyDescent="0.45">
      <c r="N78"/>
    </row>
    <row r="79" spans="14:14" x14ac:dyDescent="0.45">
      <c r="N79"/>
    </row>
    <row r="80" spans="14:14" x14ac:dyDescent="0.45">
      <c r="N80"/>
    </row>
    <row r="81" spans="14:14" x14ac:dyDescent="0.45">
      <c r="N81"/>
    </row>
    <row r="82" spans="14:14" x14ac:dyDescent="0.45">
      <c r="N82"/>
    </row>
    <row r="83" spans="14:14" x14ac:dyDescent="0.45">
      <c r="N83"/>
    </row>
    <row r="84" spans="14:14" x14ac:dyDescent="0.45">
      <c r="N84"/>
    </row>
    <row r="85" spans="14:14" x14ac:dyDescent="0.45">
      <c r="N85"/>
    </row>
    <row r="86" spans="14:14" x14ac:dyDescent="0.45">
      <c r="N86"/>
    </row>
    <row r="87" spans="14:14" x14ac:dyDescent="0.45">
      <c r="N87"/>
    </row>
    <row r="88" spans="14:14" x14ac:dyDescent="0.45">
      <c r="N88"/>
    </row>
    <row r="89" spans="14:14" x14ac:dyDescent="0.45">
      <c r="N89"/>
    </row>
    <row r="90" spans="14:14" x14ac:dyDescent="0.45">
      <c r="N90"/>
    </row>
    <row r="91" spans="14:14" x14ac:dyDescent="0.45">
      <c r="N91"/>
    </row>
    <row r="92" spans="14:14" x14ac:dyDescent="0.45">
      <c r="N92"/>
    </row>
    <row r="93" spans="14:14" x14ac:dyDescent="0.45">
      <c r="N93"/>
    </row>
    <row r="94" spans="14:14" x14ac:dyDescent="0.45">
      <c r="N94"/>
    </row>
    <row r="95" spans="14:14" x14ac:dyDescent="0.45">
      <c r="N95"/>
    </row>
    <row r="96" spans="14:14" x14ac:dyDescent="0.45">
      <c r="N96"/>
    </row>
    <row r="97" spans="14:14" x14ac:dyDescent="0.45">
      <c r="N97"/>
    </row>
    <row r="98" spans="14:14" x14ac:dyDescent="0.45">
      <c r="N98"/>
    </row>
    <row r="99" spans="14:14" x14ac:dyDescent="0.45">
      <c r="N99"/>
    </row>
    <row r="100" spans="14:14" x14ac:dyDescent="0.45">
      <c r="N100"/>
    </row>
  </sheetData>
  <mergeCells count="17">
    <mergeCell ref="R5:T5"/>
    <mergeCell ref="R10:U10"/>
    <mergeCell ref="R18:U18"/>
    <mergeCell ref="B1:F1"/>
    <mergeCell ref="G1:O1"/>
    <mergeCell ref="M29:O29"/>
    <mergeCell ref="F45:G45"/>
    <mergeCell ref="G46:I46"/>
    <mergeCell ref="D42:F42"/>
    <mergeCell ref="B2:F2"/>
    <mergeCell ref="G2:K2"/>
    <mergeCell ref="M37:O37"/>
    <mergeCell ref="B34:F34"/>
    <mergeCell ref="B36:C36"/>
    <mergeCell ref="D36:E36"/>
    <mergeCell ref="L2:O2"/>
    <mergeCell ref="F31:G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4B77-E3A8-47DF-A147-44184881593B}">
  <dimension ref="A1:N88"/>
  <sheetViews>
    <sheetView zoomScale="103" zoomScaleNormal="103" workbookViewId="0">
      <selection activeCell="D1" sqref="D1"/>
    </sheetView>
  </sheetViews>
  <sheetFormatPr defaultRowHeight="14.25" x14ac:dyDescent="0.45"/>
  <cols>
    <col min="1" max="1" width="5.19921875" customWidth="1"/>
    <col min="2" max="2" width="80.06640625" customWidth="1"/>
    <col min="3" max="3" width="9.19921875" customWidth="1"/>
    <col min="7" max="7" width="18.6640625" customWidth="1"/>
    <col min="8" max="9" width="14.19921875" customWidth="1"/>
  </cols>
  <sheetData>
    <row r="1" spans="1:13" x14ac:dyDescent="0.45">
      <c r="A1" s="7" t="s">
        <v>78</v>
      </c>
      <c r="B1" s="7"/>
      <c r="C1" s="7" t="s">
        <v>7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4</v>
      </c>
      <c r="L1" s="7"/>
      <c r="M1" s="7"/>
    </row>
    <row r="2" spans="1:13" x14ac:dyDescent="0.45">
      <c r="A2" s="7">
        <v>1</v>
      </c>
      <c r="B2" s="7" t="s">
        <v>92</v>
      </c>
      <c r="C2" s="28">
        <v>100000</v>
      </c>
      <c r="D2" s="7"/>
      <c r="E2" s="7"/>
      <c r="F2" s="7"/>
      <c r="G2" s="7"/>
      <c r="H2" s="29">
        <v>100000</v>
      </c>
      <c r="I2" s="7"/>
      <c r="J2" s="7"/>
      <c r="K2" s="7"/>
      <c r="L2" s="7"/>
      <c r="M2" s="7"/>
    </row>
    <row r="3" spans="1:13" x14ac:dyDescent="0.45">
      <c r="A3" s="7">
        <v>2</v>
      </c>
      <c r="B3" s="7" t="s">
        <v>10</v>
      </c>
      <c r="C3" s="30">
        <v>-1200</v>
      </c>
      <c r="D3" s="7"/>
      <c r="E3" s="7"/>
      <c r="F3" s="7"/>
      <c r="G3" s="7"/>
      <c r="H3" s="7"/>
      <c r="I3" s="7"/>
      <c r="J3" s="31">
        <v>-1200</v>
      </c>
      <c r="K3" s="7"/>
      <c r="L3" s="7"/>
      <c r="M3" s="7"/>
    </row>
    <row r="4" spans="1:13" x14ac:dyDescent="0.45">
      <c r="A4" s="7">
        <v>3</v>
      </c>
      <c r="B4" s="32" t="s">
        <v>11</v>
      </c>
      <c r="C4" s="30">
        <v>-8000</v>
      </c>
      <c r="D4" s="28">
        <v>30000</v>
      </c>
      <c r="E4" s="7"/>
      <c r="F4" s="7"/>
      <c r="G4" s="30">
        <v>22000</v>
      </c>
      <c r="H4" s="7"/>
      <c r="I4" s="7"/>
      <c r="J4" s="7"/>
      <c r="K4" s="7"/>
      <c r="L4" s="7"/>
      <c r="M4" s="7"/>
    </row>
    <row r="5" spans="1:13" x14ac:dyDescent="0.45">
      <c r="A5" s="7">
        <v>4</v>
      </c>
      <c r="B5" s="32" t="s">
        <v>12</v>
      </c>
      <c r="C5" s="30">
        <v>-750</v>
      </c>
      <c r="D5" s="7"/>
      <c r="E5" s="31">
        <v>750</v>
      </c>
      <c r="F5" s="7"/>
      <c r="G5" s="7"/>
      <c r="H5" s="7"/>
      <c r="I5" s="7"/>
      <c r="J5" s="7"/>
      <c r="K5" s="7"/>
      <c r="L5" s="7"/>
      <c r="M5" s="7"/>
    </row>
    <row r="6" spans="1:13" x14ac:dyDescent="0.45">
      <c r="A6" s="7">
        <v>8</v>
      </c>
      <c r="B6" s="32" t="s">
        <v>13</v>
      </c>
      <c r="C6" s="31">
        <v>2700</v>
      </c>
      <c r="D6" s="7"/>
      <c r="E6" s="7"/>
      <c r="F6" s="7"/>
      <c r="G6" s="7"/>
      <c r="H6" s="7"/>
      <c r="I6" s="30">
        <v>2700</v>
      </c>
      <c r="J6" s="7"/>
      <c r="K6" s="7"/>
      <c r="L6" s="7"/>
      <c r="M6" s="7"/>
    </row>
    <row r="7" spans="1:13" x14ac:dyDescent="0.45">
      <c r="A7" s="7">
        <v>15</v>
      </c>
      <c r="B7" s="32" t="s">
        <v>14</v>
      </c>
      <c r="C7" s="7"/>
      <c r="D7" s="7"/>
      <c r="E7" s="7"/>
      <c r="F7" s="31">
        <v>3600</v>
      </c>
      <c r="G7" s="7"/>
      <c r="H7" s="7"/>
      <c r="I7" s="30">
        <v>3600</v>
      </c>
      <c r="J7" s="7"/>
      <c r="K7" s="7"/>
      <c r="L7" s="7"/>
      <c r="M7" s="7"/>
    </row>
    <row r="8" spans="1:13" x14ac:dyDescent="0.45">
      <c r="A8" s="7">
        <v>20</v>
      </c>
      <c r="B8" s="32" t="s">
        <v>93</v>
      </c>
      <c r="C8" s="31">
        <v>3600</v>
      </c>
      <c r="D8" s="7"/>
      <c r="E8" s="7"/>
      <c r="F8" s="7"/>
      <c r="G8" s="7"/>
      <c r="H8" s="7"/>
      <c r="I8" s="30">
        <v>3600</v>
      </c>
      <c r="J8" s="7"/>
      <c r="K8" s="7"/>
      <c r="L8" s="7"/>
      <c r="M8" s="7"/>
    </row>
    <row r="9" spans="1:13" x14ac:dyDescent="0.45">
      <c r="A9" s="7">
        <v>30</v>
      </c>
      <c r="B9" s="32" t="s">
        <v>15</v>
      </c>
      <c r="C9" s="30">
        <v>-3000</v>
      </c>
      <c r="D9" s="7"/>
      <c r="E9" s="7"/>
      <c r="F9" s="7"/>
      <c r="G9" s="7"/>
      <c r="H9" s="7"/>
      <c r="I9" s="7"/>
      <c r="J9" s="31">
        <v>-3000</v>
      </c>
      <c r="K9" s="7"/>
      <c r="L9" s="7"/>
      <c r="M9" s="7"/>
    </row>
    <row r="10" spans="1:13" x14ac:dyDescent="0.45">
      <c r="A10" s="7">
        <v>31</v>
      </c>
      <c r="B10" s="32" t="s">
        <v>16</v>
      </c>
      <c r="C10" s="30">
        <v>-2000</v>
      </c>
      <c r="D10" s="7"/>
      <c r="E10" s="7"/>
      <c r="F10" s="7"/>
      <c r="G10" s="7"/>
      <c r="H10" s="7"/>
      <c r="I10" s="7"/>
      <c r="J10" s="7"/>
      <c r="K10" s="31">
        <v>-2000</v>
      </c>
      <c r="L10" s="7"/>
      <c r="M10" s="7"/>
    </row>
    <row r="11" spans="1:13" s="3" customFormat="1" x14ac:dyDescent="0.45">
      <c r="B11" s="33"/>
      <c r="C11" s="34">
        <f>SUM(C2:C10)</f>
        <v>91350</v>
      </c>
      <c r="D11" s="34">
        <f t="shared" ref="D11:K11" si="0">SUM(D2:D10)</f>
        <v>30000</v>
      </c>
      <c r="E11" s="34">
        <f t="shared" si="0"/>
        <v>750</v>
      </c>
      <c r="F11" s="34">
        <f t="shared" si="0"/>
        <v>3600</v>
      </c>
      <c r="G11" s="34">
        <f t="shared" si="0"/>
        <v>22000</v>
      </c>
      <c r="H11" s="34">
        <f t="shared" si="0"/>
        <v>100000</v>
      </c>
      <c r="I11" s="34">
        <f t="shared" si="0"/>
        <v>9900</v>
      </c>
      <c r="J11" s="34">
        <f t="shared" si="0"/>
        <v>-4200</v>
      </c>
      <c r="K11" s="34">
        <f t="shared" si="0"/>
        <v>-2000</v>
      </c>
    </row>
    <row r="12" spans="1:13" s="7" customFormat="1" x14ac:dyDescent="0.45">
      <c r="A12" s="7" t="s">
        <v>79</v>
      </c>
      <c r="B12" s="32"/>
      <c r="C12" s="7" t="s">
        <v>7</v>
      </c>
      <c r="D12" s="7" t="s">
        <v>94</v>
      </c>
      <c r="E12" s="7" t="s">
        <v>51</v>
      </c>
      <c r="F12" s="7" t="s">
        <v>19</v>
      </c>
      <c r="G12" s="7" t="s">
        <v>20</v>
      </c>
      <c r="H12" s="7" t="s">
        <v>21</v>
      </c>
      <c r="I12" s="7" t="s">
        <v>22</v>
      </c>
      <c r="J12" s="7" t="s">
        <v>23</v>
      </c>
      <c r="K12" s="7" t="s">
        <v>4</v>
      </c>
      <c r="M12" s="31"/>
    </row>
    <row r="13" spans="1:13" s="7" customFormat="1" x14ac:dyDescent="0.45">
      <c r="A13" s="7" t="s">
        <v>24</v>
      </c>
      <c r="B13" s="32" t="s">
        <v>95</v>
      </c>
      <c r="C13" s="31">
        <v>15000</v>
      </c>
      <c r="D13" s="31">
        <v>6000</v>
      </c>
      <c r="H13" s="30">
        <v>21000</v>
      </c>
    </row>
    <row r="14" spans="1:13" s="7" customFormat="1" x14ac:dyDescent="0.45">
      <c r="A14" s="7" t="s">
        <v>25</v>
      </c>
      <c r="B14" s="32" t="s">
        <v>32</v>
      </c>
      <c r="D14" s="31"/>
      <c r="E14" s="31">
        <v>7500</v>
      </c>
      <c r="G14" s="30">
        <v>7500</v>
      </c>
    </row>
    <row r="15" spans="1:13" s="7" customFormat="1" x14ac:dyDescent="0.45">
      <c r="A15" s="7" t="s">
        <v>26</v>
      </c>
      <c r="B15" s="7" t="s">
        <v>33</v>
      </c>
      <c r="C15" s="31">
        <v>1500</v>
      </c>
      <c r="F15" s="30">
        <v>-1500</v>
      </c>
    </row>
    <row r="16" spans="1:13" s="7" customFormat="1" x14ac:dyDescent="0.45">
      <c r="A16" s="7" t="s">
        <v>27</v>
      </c>
      <c r="B16" s="7" t="s">
        <v>34</v>
      </c>
      <c r="C16" s="30">
        <v>-3500</v>
      </c>
      <c r="G16" s="31">
        <v>-3500</v>
      </c>
    </row>
    <row r="17" spans="1:14" s="7" customFormat="1" x14ac:dyDescent="0.45">
      <c r="A17" s="7" t="s">
        <v>28</v>
      </c>
      <c r="B17" s="7" t="s">
        <v>35</v>
      </c>
      <c r="F17" s="31">
        <v>4000</v>
      </c>
      <c r="I17" s="30">
        <v>4000</v>
      </c>
    </row>
    <row r="18" spans="1:14" s="7" customFormat="1" x14ac:dyDescent="0.45">
      <c r="A18" s="7" t="s">
        <v>29</v>
      </c>
      <c r="B18" s="7" t="s">
        <v>36</v>
      </c>
      <c r="C18" s="30">
        <v>-2000</v>
      </c>
      <c r="K18" s="31">
        <v>-2000</v>
      </c>
    </row>
    <row r="19" spans="1:14" s="7" customFormat="1" x14ac:dyDescent="0.45">
      <c r="A19" s="7" t="s">
        <v>31</v>
      </c>
      <c r="B19" s="7" t="s">
        <v>96</v>
      </c>
      <c r="C19" s="31">
        <v>2500</v>
      </c>
      <c r="F19" s="30">
        <v>-2500</v>
      </c>
    </row>
    <row r="20" spans="1:14" s="7" customFormat="1" x14ac:dyDescent="0.45">
      <c r="A20" s="7" t="s">
        <v>30</v>
      </c>
      <c r="B20" s="7" t="s">
        <v>37</v>
      </c>
      <c r="C20" s="30">
        <v>-2500</v>
      </c>
      <c r="J20" s="31">
        <v>-2500</v>
      </c>
    </row>
    <row r="21" spans="1:14" s="3" customFormat="1" x14ac:dyDescent="0.45">
      <c r="C21" s="34">
        <f>SUM(C13:C20)</f>
        <v>11000</v>
      </c>
      <c r="D21" s="34">
        <f t="shared" ref="D21:N21" si="1">SUM(D13:D20)</f>
        <v>6000</v>
      </c>
      <c r="E21" s="34">
        <f t="shared" si="1"/>
        <v>7500</v>
      </c>
      <c r="F21" s="34">
        <f t="shared" si="1"/>
        <v>0</v>
      </c>
      <c r="G21" s="34">
        <f t="shared" si="1"/>
        <v>4000</v>
      </c>
      <c r="H21" s="34">
        <f t="shared" si="1"/>
        <v>21000</v>
      </c>
      <c r="I21" s="34">
        <f t="shared" si="1"/>
        <v>4000</v>
      </c>
      <c r="J21" s="34">
        <f t="shared" si="1"/>
        <v>-2500</v>
      </c>
      <c r="K21" s="34">
        <f t="shared" si="1"/>
        <v>-2000</v>
      </c>
      <c r="L21" s="34">
        <f t="shared" si="1"/>
        <v>0</v>
      </c>
      <c r="M21" s="34">
        <f t="shared" si="1"/>
        <v>0</v>
      </c>
      <c r="N21" s="34">
        <f t="shared" si="1"/>
        <v>0</v>
      </c>
    </row>
    <row r="22" spans="1:14" s="7" customFormat="1" x14ac:dyDescent="0.45">
      <c r="A22" s="7" t="s">
        <v>80</v>
      </c>
      <c r="B22" s="7" t="s">
        <v>38</v>
      </c>
    </row>
    <row r="23" spans="1:14" s="7" customFormat="1" x14ac:dyDescent="0.45"/>
    <row r="24" spans="1:14" s="7" customFormat="1" x14ac:dyDescent="0.45">
      <c r="C24" s="7" t="s">
        <v>7</v>
      </c>
      <c r="D24" s="7" t="s">
        <v>50</v>
      </c>
      <c r="E24" s="7" t="s">
        <v>97</v>
      </c>
      <c r="F24" s="7" t="s">
        <v>19</v>
      </c>
      <c r="G24" s="7" t="s">
        <v>20</v>
      </c>
      <c r="H24" s="7" t="s">
        <v>98</v>
      </c>
      <c r="I24" s="7" t="s">
        <v>21</v>
      </c>
      <c r="J24" s="7" t="s">
        <v>22</v>
      </c>
      <c r="K24" s="7" t="s">
        <v>23</v>
      </c>
      <c r="L24" s="7" t="s">
        <v>4</v>
      </c>
      <c r="M24" s="31" t="s">
        <v>4</v>
      </c>
    </row>
    <row r="25" spans="1:14" s="7" customFormat="1" x14ac:dyDescent="0.45">
      <c r="A25" s="7" t="s">
        <v>41</v>
      </c>
      <c r="B25" s="7" t="s">
        <v>46</v>
      </c>
      <c r="E25" s="31">
        <v>300</v>
      </c>
      <c r="G25" s="30">
        <v>300</v>
      </c>
    </row>
    <row r="26" spans="1:14" s="7" customFormat="1" x14ac:dyDescent="0.45">
      <c r="A26" s="7" t="s">
        <v>25</v>
      </c>
      <c r="B26" s="7" t="s">
        <v>47</v>
      </c>
      <c r="F26" s="31">
        <v>500</v>
      </c>
      <c r="J26" s="30">
        <v>500</v>
      </c>
    </row>
    <row r="27" spans="1:14" s="7" customFormat="1" x14ac:dyDescent="0.45">
      <c r="A27" s="7" t="s">
        <v>42</v>
      </c>
      <c r="B27" s="7" t="s">
        <v>99</v>
      </c>
      <c r="C27" s="30">
        <v>-300</v>
      </c>
      <c r="G27" s="31">
        <v>-300</v>
      </c>
    </row>
    <row r="28" spans="1:14" s="7" customFormat="1" x14ac:dyDescent="0.45">
      <c r="A28" s="7" t="s">
        <v>43</v>
      </c>
      <c r="B28" s="7" t="s">
        <v>48</v>
      </c>
      <c r="C28" s="31">
        <v>800</v>
      </c>
      <c r="J28" s="30">
        <v>800</v>
      </c>
    </row>
    <row r="29" spans="1:14" s="7" customFormat="1" x14ac:dyDescent="0.45">
      <c r="A29" s="7" t="s">
        <v>44</v>
      </c>
      <c r="B29" s="7" t="s">
        <v>100</v>
      </c>
      <c r="C29" s="31">
        <v>500</v>
      </c>
      <c r="F29" s="30">
        <v>-500</v>
      </c>
    </row>
    <row r="30" spans="1:14" s="7" customFormat="1" x14ac:dyDescent="0.45">
      <c r="A30" s="7" t="s">
        <v>45</v>
      </c>
      <c r="B30" s="7" t="s">
        <v>49</v>
      </c>
      <c r="C30" s="31">
        <v>1000</v>
      </c>
      <c r="H30" s="30">
        <v>1000</v>
      </c>
    </row>
    <row r="31" spans="1:14" s="3" customFormat="1" x14ac:dyDescent="0.45">
      <c r="C31" s="3">
        <f>SUM(C25:C30)</f>
        <v>2000</v>
      </c>
      <c r="D31" s="3">
        <f t="shared" ref="D31:M31" si="2">SUM(D25:D30)</f>
        <v>0</v>
      </c>
      <c r="E31" s="3">
        <f t="shared" si="2"/>
        <v>300</v>
      </c>
      <c r="F31" s="3">
        <f t="shared" si="2"/>
        <v>0</v>
      </c>
      <c r="G31" s="3">
        <f t="shared" si="2"/>
        <v>0</v>
      </c>
      <c r="H31" s="3">
        <f t="shared" si="2"/>
        <v>1000</v>
      </c>
      <c r="I31" s="3">
        <f t="shared" si="2"/>
        <v>0</v>
      </c>
      <c r="J31" s="3">
        <f t="shared" si="2"/>
        <v>1300</v>
      </c>
      <c r="K31" s="3">
        <f t="shared" si="2"/>
        <v>0</v>
      </c>
      <c r="L31" s="3">
        <f t="shared" si="2"/>
        <v>0</v>
      </c>
      <c r="M31" s="3">
        <f t="shared" si="2"/>
        <v>0</v>
      </c>
    </row>
    <row r="32" spans="1:14" x14ac:dyDescent="0.45">
      <c r="B32" t="s">
        <v>39</v>
      </c>
    </row>
    <row r="33" spans="1:13" x14ac:dyDescent="0.45">
      <c r="B33" t="s">
        <v>40</v>
      </c>
    </row>
    <row r="35" spans="1:13" s="7" customFormat="1" x14ac:dyDescent="0.45">
      <c r="A35" s="7" t="s">
        <v>81</v>
      </c>
      <c r="B35" s="7" t="s">
        <v>52</v>
      </c>
    </row>
    <row r="36" spans="1:13" s="7" customFormat="1" x14ac:dyDescent="0.45">
      <c r="C36" s="7" t="s">
        <v>7</v>
      </c>
      <c r="D36" s="7" t="s">
        <v>8</v>
      </c>
      <c r="E36" s="7" t="s">
        <v>101</v>
      </c>
      <c r="F36" s="7" t="s">
        <v>18</v>
      </c>
      <c r="G36" s="7" t="s">
        <v>82</v>
      </c>
      <c r="H36" s="7" t="s">
        <v>102</v>
      </c>
      <c r="I36" s="7" t="s">
        <v>103</v>
      </c>
      <c r="J36" s="7" t="s">
        <v>2</v>
      </c>
      <c r="K36" s="7" t="s">
        <v>1</v>
      </c>
      <c r="L36" s="7" t="s">
        <v>23</v>
      </c>
      <c r="M36" s="31" t="s">
        <v>4</v>
      </c>
    </row>
    <row r="37" spans="1:13" s="7" customFormat="1" x14ac:dyDescent="0.45">
      <c r="B37" s="7" t="s">
        <v>53</v>
      </c>
      <c r="C37" s="28">
        <v>100000</v>
      </c>
      <c r="J37" s="29">
        <v>100000</v>
      </c>
    </row>
    <row r="38" spans="1:13" s="7" customFormat="1" x14ac:dyDescent="0.45">
      <c r="B38" s="7" t="s">
        <v>54</v>
      </c>
      <c r="C38" s="30">
        <v>-2000</v>
      </c>
      <c r="E38" s="31">
        <v>12000</v>
      </c>
      <c r="H38" s="30">
        <v>10000</v>
      </c>
    </row>
    <row r="39" spans="1:13" s="7" customFormat="1" x14ac:dyDescent="0.45">
      <c r="B39" s="7" t="s">
        <v>55</v>
      </c>
      <c r="C39" s="31">
        <v>1500</v>
      </c>
      <c r="K39" s="30">
        <v>1500</v>
      </c>
    </row>
    <row r="40" spans="1:13" s="7" customFormat="1" x14ac:dyDescent="0.45">
      <c r="A40" s="32">
        <v>45051</v>
      </c>
      <c r="B40" s="7" t="s">
        <v>56</v>
      </c>
      <c r="D40" s="31">
        <v>4400</v>
      </c>
      <c r="K40" s="30">
        <v>4400</v>
      </c>
    </row>
    <row r="41" spans="1:13" s="7" customFormat="1" x14ac:dyDescent="0.45">
      <c r="B41" s="7" t="s">
        <v>57</v>
      </c>
      <c r="C41" s="30">
        <v>-200</v>
      </c>
      <c r="K41" s="30"/>
      <c r="M41" s="31">
        <v>-200</v>
      </c>
    </row>
    <row r="42" spans="1:13" s="7" customFormat="1" x14ac:dyDescent="0.45">
      <c r="B42" s="7" t="s">
        <v>58</v>
      </c>
      <c r="F42" s="31">
        <v>150</v>
      </c>
      <c r="I42" s="30">
        <v>150</v>
      </c>
      <c r="K42" s="30"/>
    </row>
    <row r="43" spans="1:13" s="7" customFormat="1" x14ac:dyDescent="0.45">
      <c r="B43" s="7" t="s">
        <v>63</v>
      </c>
      <c r="C43" s="31">
        <v>1250</v>
      </c>
      <c r="D43" s="7">
        <v>-1250</v>
      </c>
      <c r="K43" s="30"/>
    </row>
    <row r="44" spans="1:13" s="7" customFormat="1" x14ac:dyDescent="0.45">
      <c r="B44" s="7" t="s">
        <v>59</v>
      </c>
      <c r="C44" s="30">
        <v>-500</v>
      </c>
      <c r="H44" s="31">
        <v>-500</v>
      </c>
      <c r="K44" s="30"/>
    </row>
    <row r="45" spans="1:13" s="7" customFormat="1" x14ac:dyDescent="0.45">
      <c r="B45" s="7" t="s">
        <v>60</v>
      </c>
      <c r="C45" s="30">
        <v>-250</v>
      </c>
      <c r="L45" s="31">
        <v>-250</v>
      </c>
    </row>
    <row r="46" spans="1:13" s="7" customFormat="1" x14ac:dyDescent="0.45">
      <c r="B46" s="7" t="s">
        <v>61</v>
      </c>
      <c r="C46" s="30">
        <v>-150</v>
      </c>
      <c r="I46" s="31">
        <v>-150</v>
      </c>
    </row>
    <row r="47" spans="1:13" s="7" customFormat="1" x14ac:dyDescent="0.45">
      <c r="B47" s="7" t="s">
        <v>62</v>
      </c>
      <c r="C47" s="30">
        <v>-2000</v>
      </c>
      <c r="L47" s="31">
        <v>-2000</v>
      </c>
    </row>
    <row r="48" spans="1:13" s="3" customFormat="1" x14ac:dyDescent="0.45">
      <c r="C48" s="35">
        <f>SUM(C37:C47)</f>
        <v>97650</v>
      </c>
      <c r="D48" s="35">
        <f t="shared" ref="D48:M48" si="3">SUM(D37:D47)</f>
        <v>3150</v>
      </c>
      <c r="E48" s="35">
        <f t="shared" si="3"/>
        <v>12000</v>
      </c>
      <c r="F48" s="35">
        <f t="shared" si="3"/>
        <v>150</v>
      </c>
      <c r="G48" s="35">
        <f t="shared" si="3"/>
        <v>0</v>
      </c>
      <c r="H48" s="35">
        <f t="shared" si="3"/>
        <v>9500</v>
      </c>
      <c r="I48" s="35">
        <f t="shared" si="3"/>
        <v>0</v>
      </c>
      <c r="J48" s="35">
        <f t="shared" si="3"/>
        <v>100000</v>
      </c>
      <c r="K48" s="35">
        <f t="shared" si="3"/>
        <v>5900</v>
      </c>
      <c r="L48" s="35">
        <f t="shared" si="3"/>
        <v>-2250</v>
      </c>
      <c r="M48" s="35">
        <f t="shared" si="3"/>
        <v>-200</v>
      </c>
    </row>
    <row r="50" spans="2:5" x14ac:dyDescent="0.45">
      <c r="B50" t="s">
        <v>64</v>
      </c>
    </row>
    <row r="52" spans="2:5" x14ac:dyDescent="0.45">
      <c r="B52" s="50" t="s">
        <v>65</v>
      </c>
      <c r="C52" s="50"/>
      <c r="D52" s="50"/>
      <c r="E52" s="50"/>
    </row>
    <row r="53" spans="2:5" x14ac:dyDescent="0.45">
      <c r="B53" s="50" t="s">
        <v>66</v>
      </c>
      <c r="C53" s="50"/>
      <c r="D53" s="50"/>
      <c r="E53" s="50"/>
    </row>
    <row r="54" spans="2:5" x14ac:dyDescent="0.45">
      <c r="B54" s="58">
        <v>44926</v>
      </c>
      <c r="C54" s="58"/>
      <c r="D54" s="58"/>
      <c r="E54" s="58"/>
    </row>
    <row r="55" spans="2:5" x14ac:dyDescent="0.45">
      <c r="B55" t="s">
        <v>7</v>
      </c>
      <c r="D55" s="2">
        <v>6500</v>
      </c>
    </row>
    <row r="56" spans="2:5" x14ac:dyDescent="0.45">
      <c r="B56" t="s">
        <v>67</v>
      </c>
      <c r="D56">
        <v>475</v>
      </c>
    </row>
    <row r="57" spans="2:5" x14ac:dyDescent="0.45">
      <c r="B57" t="s">
        <v>68</v>
      </c>
      <c r="D57" s="1">
        <v>2500</v>
      </c>
    </row>
    <row r="58" spans="2:5" x14ac:dyDescent="0.45">
      <c r="B58" t="s">
        <v>69</v>
      </c>
      <c r="D58" s="1">
        <v>17000</v>
      </c>
    </row>
    <row r="59" spans="2:5" x14ac:dyDescent="0.45">
      <c r="B59" t="s">
        <v>70</v>
      </c>
      <c r="E59" s="2">
        <v>745</v>
      </c>
    </row>
    <row r="60" spans="2:5" x14ac:dyDescent="0.45">
      <c r="B60" t="s">
        <v>71</v>
      </c>
      <c r="E60" s="1">
        <v>21155</v>
      </c>
    </row>
    <row r="61" spans="2:5" x14ac:dyDescent="0.45">
      <c r="B61" t="s">
        <v>72</v>
      </c>
      <c r="D61" s="1">
        <v>36000</v>
      </c>
    </row>
    <row r="62" spans="2:5" x14ac:dyDescent="0.45">
      <c r="B62" t="s">
        <v>73</v>
      </c>
      <c r="E62" s="1">
        <v>72000</v>
      </c>
    </row>
    <row r="63" spans="2:5" x14ac:dyDescent="0.45">
      <c r="B63" t="s">
        <v>74</v>
      </c>
      <c r="D63" s="1">
        <v>3425</v>
      </c>
    </row>
    <row r="64" spans="2:5" x14ac:dyDescent="0.45">
      <c r="B64" t="s">
        <v>75</v>
      </c>
      <c r="D64" s="1">
        <v>6000</v>
      </c>
    </row>
    <row r="65" spans="2:5" x14ac:dyDescent="0.45">
      <c r="B65" t="s">
        <v>76</v>
      </c>
      <c r="D65" s="1">
        <v>22000</v>
      </c>
    </row>
    <row r="66" spans="2:5" x14ac:dyDescent="0.45">
      <c r="B66" t="s">
        <v>77</v>
      </c>
      <c r="D66" s="2">
        <v>93900</v>
      </c>
      <c r="E66" s="2">
        <v>93900</v>
      </c>
    </row>
    <row r="74" spans="2:5" ht="15.4" x14ac:dyDescent="0.45">
      <c r="D74" s="47"/>
      <c r="E74" s="48"/>
    </row>
    <row r="75" spans="2:5" ht="15.4" x14ac:dyDescent="0.45">
      <c r="D75" s="47"/>
      <c r="E75" s="47"/>
    </row>
    <row r="76" spans="2:5" ht="15.4" x14ac:dyDescent="0.45">
      <c r="D76" s="47"/>
      <c r="E76" s="47"/>
    </row>
    <row r="77" spans="2:5" ht="15.4" x14ac:dyDescent="0.45">
      <c r="D77" s="47"/>
      <c r="E77" s="47"/>
    </row>
    <row r="78" spans="2:5" ht="15.4" x14ac:dyDescent="0.45">
      <c r="D78" s="47"/>
      <c r="E78" s="47"/>
    </row>
    <row r="79" spans="2:5" ht="15.4" x14ac:dyDescent="0.45">
      <c r="D79" s="47"/>
      <c r="E79" s="47"/>
    </row>
    <row r="80" spans="2:5" ht="15.4" x14ac:dyDescent="0.45">
      <c r="D80" s="47"/>
      <c r="E80" s="47"/>
    </row>
    <row r="81" spans="4:5" ht="15.4" x14ac:dyDescent="0.45">
      <c r="D81" s="47"/>
      <c r="E81" s="47"/>
    </row>
    <row r="82" spans="4:5" ht="15.4" x14ac:dyDescent="0.45">
      <c r="D82" s="47"/>
      <c r="E82" s="47"/>
    </row>
    <row r="83" spans="4:5" ht="15.4" x14ac:dyDescent="0.45">
      <c r="D83" s="47"/>
      <c r="E83" s="47"/>
    </row>
    <row r="84" spans="4:5" ht="15.4" x14ac:dyDescent="0.45">
      <c r="D84" s="47"/>
      <c r="E84" s="47"/>
    </row>
    <row r="85" spans="4:5" ht="15.4" x14ac:dyDescent="0.45">
      <c r="D85" s="47"/>
      <c r="E85" s="47"/>
    </row>
    <row r="86" spans="4:5" ht="15.4" x14ac:dyDescent="0.45">
      <c r="D86" s="47"/>
      <c r="E86" s="47"/>
    </row>
    <row r="87" spans="4:5" ht="15.4" x14ac:dyDescent="0.45">
      <c r="D87" s="47"/>
      <c r="E87" s="47"/>
    </row>
    <row r="88" spans="4:5" ht="15.4" x14ac:dyDescent="0.45">
      <c r="E88" s="49"/>
    </row>
  </sheetData>
  <mergeCells count="3">
    <mergeCell ref="B52:E52"/>
    <mergeCell ref="B53:E53"/>
    <mergeCell ref="B54:E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excercsie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Ramadan</dc:creator>
  <cp:lastModifiedBy>Maha Ramadan</cp:lastModifiedBy>
  <dcterms:created xsi:type="dcterms:W3CDTF">2015-06-05T18:17:20Z</dcterms:created>
  <dcterms:modified xsi:type="dcterms:W3CDTF">2026-02-07T12:51:24Z</dcterms:modified>
</cp:coreProperties>
</file>